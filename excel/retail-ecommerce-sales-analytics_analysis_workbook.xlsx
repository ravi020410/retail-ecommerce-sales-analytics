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ivot Tables" sheetId="2" state="visible" r:id="rId2"/>
    <sheet xmlns:r="http://schemas.openxmlformats.org/officeDocument/2006/relationships" name="Pivot Charts" sheetId="3" state="visible" r:id="rId3"/>
    <sheet xmlns:r="http://schemas.openxmlformats.org/officeDocument/2006/relationships" name="Lookup Examples" sheetId="4" state="visible" r:id="rId4"/>
    <sheet xmlns:r="http://schemas.openxmlformats.org/officeDocument/2006/relationships" name="Data Cleaning" sheetId="5" state="visible" r:id="rId5"/>
    <sheet xmlns:r="http://schemas.openxmlformats.org/officeDocument/2006/relationships" name="Conditional Formatting" sheetId="6" state="visible" r:id="rId6"/>
    <sheet xmlns:r="http://schemas.openxmlformats.org/officeDocument/2006/relationships" name="KPI Tracking" sheetId="7" state="visible" r:id="rId7"/>
    <sheet xmlns:r="http://schemas.openxmlformats.org/officeDocument/2006/relationships" name="Executi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780"/>
      <sz val="18"/>
    </font>
    <font>
      <b val="1"/>
      <color rgb="00FFFFFF"/>
    </font>
    <font>
      <b val="1"/>
      <color rgb="002E4780"/>
      <sz val="14"/>
    </font>
  </fonts>
  <fills count="4">
    <fill>
      <patternFill/>
    </fill>
    <fill>
      <patternFill patternType="gray125"/>
    </fill>
    <fill>
      <patternFill patternType="solid">
        <fgColor rgb="002E4780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D7DBE7"/>
      </left>
      <right style="thin">
        <color rgb="00D7DBE7"/>
      </right>
      <top style="thin">
        <color rgb="00D7DBE7"/>
      </top>
      <bottom style="thin">
        <color rgb="00D7DB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'Dashboard'!$A$11:$A$28</f>
            </numRef>
          </cat>
          <val>
            <numRef>
              <f>'Dashboard'!$B$11:$B$28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Tracking'!B1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Tracking'!$A$2:$A$8</f>
            </numRef>
          </cat>
          <val>
            <numRef>
              <f>'KPI Tracking'!$B$2:$B$8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Retail &amp; E-Commerce Sales Analytics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Revenue</t>
        </is>
      </c>
      <c r="B3" s="2" t="n"/>
      <c r="C3" s="3" t="inlineStr">
        <is>
          <t>Gross Profit</t>
        </is>
      </c>
      <c r="D3" s="2" t="n"/>
      <c r="E3" s="3" t="inlineStr">
        <is>
          <t>Profit Margin</t>
        </is>
      </c>
      <c r="F3" s="2" t="n"/>
      <c r="G3" s="3" t="inlineStr">
        <is>
          <t>Average Order Value</t>
        </is>
      </c>
      <c r="H3" s="2" t="n"/>
    </row>
    <row r="4">
      <c r="A4" s="4" t="inlineStr">
        <is>
          <t>$5.4M</t>
        </is>
      </c>
      <c r="B4" s="2" t="n"/>
      <c r="C4" s="4" t="inlineStr">
        <is>
          <t>$2.0M</t>
        </is>
      </c>
      <c r="D4" s="2" t="n"/>
      <c r="E4" s="4" t="inlineStr">
        <is>
          <t>36.8%</t>
        </is>
      </c>
      <c r="F4" s="2" t="n"/>
      <c r="G4" s="4" t="inlineStr">
        <is>
          <t>69.7</t>
        </is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3" t="inlineStr">
        <is>
          <t>Customer Acquisition Cost</t>
        </is>
      </c>
      <c r="B6" s="2" t="n"/>
      <c r="C6" s="3" t="inlineStr">
        <is>
          <t>Customer Retention Rate</t>
        </is>
      </c>
      <c r="D6" s="2" t="n"/>
      <c r="E6" s="3" t="inlineStr">
        <is>
          <t>Repeat Purchase Rate</t>
        </is>
      </c>
      <c r="F6" s="2" t="n"/>
      <c r="G6" s="3" t="inlineStr">
        <is>
          <t>Customer Lifetime Value</t>
        </is>
      </c>
      <c r="H6" s="2" t="n"/>
    </row>
    <row r="7">
      <c r="A7" s="4" t="inlineStr">
        <is>
          <t>3,538.1</t>
        </is>
      </c>
      <c r="B7" s="2" t="n"/>
      <c r="C7" s="4" t="inlineStr">
        <is>
          <t>82.2%</t>
        </is>
      </c>
      <c r="D7" s="2" t="n"/>
      <c r="E7" s="4" t="inlineStr">
        <is>
          <t>96.7%</t>
        </is>
      </c>
      <c r="F7" s="2" t="n"/>
      <c r="G7" s="4" t="inlineStr">
        <is>
          <t>945.9</t>
        </is>
      </c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Month</t>
        </is>
      </c>
      <c r="B10" s="2" t="inlineStr">
        <is>
          <t>Revenue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Jul 2024</t>
        </is>
      </c>
      <c r="B11" s="2" t="n">
        <v>120612.73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Aug 2024</t>
        </is>
      </c>
      <c r="B12" s="2" t="n">
        <v>120543.44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Sep 2024</t>
        </is>
      </c>
      <c r="B13" s="2" t="n">
        <v>108377.42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Oct 2024</t>
        </is>
      </c>
      <c r="B14" s="2" t="n">
        <v>114439.28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Nov 2024</t>
        </is>
      </c>
      <c r="B15" s="2" t="n">
        <v>105827.78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Dec 2024</t>
        </is>
      </c>
      <c r="B16" s="2" t="n">
        <v>115452.98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Jan 2025</t>
        </is>
      </c>
      <c r="B17" s="2" t="n">
        <v>112108.5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Feb 2025</t>
        </is>
      </c>
      <c r="B18" s="2" t="n">
        <v>101369.71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Mar 2025</t>
        </is>
      </c>
      <c r="B19" s="2" t="n">
        <v>115609.71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Apr 2025</t>
        </is>
      </c>
      <c r="B20" s="2" t="n">
        <v>107729.17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May 2025</t>
        </is>
      </c>
      <c r="B21" s="2" t="n">
        <v>115100.9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Jun 2025</t>
        </is>
      </c>
      <c r="B22" s="2" t="n">
        <v>110266.01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Jul 2025</t>
        </is>
      </c>
      <c r="B23" s="2" t="n">
        <v>110677.3</v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Aug 2025</t>
        </is>
      </c>
      <c r="B24" s="2" t="n">
        <v>114746.84</v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Sep 2025</t>
        </is>
      </c>
      <c r="B25" s="2" t="n">
        <v>108759.98</v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Oct 2025</t>
        </is>
      </c>
      <c r="B26" s="2" t="n">
        <v>109526.85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Nov 2025</t>
        </is>
      </c>
      <c r="B27" s="2" t="n">
        <v>117661.88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Dec 2025</t>
        </is>
      </c>
      <c r="B28" s="2" t="n">
        <v>115072.03</v>
      </c>
      <c r="C28" s="2" t="n"/>
      <c r="D28" s="2" t="n"/>
      <c r="E28" s="2" t="n"/>
      <c r="F28" s="2" t="n"/>
      <c r="G28" s="2" t="n"/>
      <c r="H28" s="2" t="n"/>
    </row>
  </sheetData>
  <mergeCells count="17">
    <mergeCell ref="A4:B4"/>
    <mergeCell ref="G4:H4"/>
    <mergeCell ref="E4:F4"/>
    <mergeCell ref="E6:F6"/>
    <mergeCell ref="C6:D6"/>
    <mergeCell ref="C7:D7"/>
    <mergeCell ref="A7:B7"/>
    <mergeCell ref="G7:H7"/>
    <mergeCell ref="E7:F7"/>
    <mergeCell ref="G6:H6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Revenue</t>
        </is>
      </c>
      <c r="B2" s="5" t="n">
        <v>5395208.54</v>
      </c>
    </row>
    <row r="3">
      <c r="A3" s="5" t="inlineStr">
        <is>
          <t>Gross Profit</t>
        </is>
      </c>
      <c r="B3" s="5" t="n">
        <v>1984477.26</v>
      </c>
    </row>
    <row r="4">
      <c r="A4" s="5" t="inlineStr">
        <is>
          <t>Profit Margin</t>
        </is>
      </c>
      <c r="B4" s="5" t="n">
        <v>0.3678221602162574</v>
      </c>
    </row>
    <row r="5">
      <c r="A5" s="5" t="inlineStr">
        <is>
          <t>Average Order Value</t>
        </is>
      </c>
      <c r="B5" s="5" t="n">
        <v>69.70283503223389</v>
      </c>
    </row>
    <row r="6">
      <c r="A6" s="5" t="inlineStr">
        <is>
          <t>Customer Acquisition Cost</t>
        </is>
      </c>
      <c r="B6" s="5" t="n">
        <v>3538.13401032258</v>
      </c>
    </row>
    <row r="7">
      <c r="A7" s="5" t="inlineStr">
        <is>
          <t>Customer Retention Rate</t>
        </is>
      </c>
      <c r="B7" s="5" t="n">
        <v>0.8218674112070644</v>
      </c>
    </row>
    <row r="8">
      <c r="A8" s="5" t="inlineStr">
        <is>
          <t>Repeat Purchase Rate</t>
        </is>
      </c>
      <c r="B8" s="5" t="n">
        <v>0.9674696448282579</v>
      </c>
    </row>
    <row r="9">
      <c r="A9" s="5" t="inlineStr">
        <is>
          <t>Customer Lifetime Value</t>
        </is>
      </c>
      <c r="B9" s="5" t="n">
        <v>945.8517666385301</v>
      </c>
    </row>
    <row r="10">
      <c r="A10" s="5" t="inlineStr">
        <is>
          <t>Monthly Revenue Growth</t>
        </is>
      </c>
      <c r="B10" s="5" t="n">
        <v>0.001801268525730889</v>
      </c>
    </row>
    <row r="11">
      <c r="A11" s="5" t="inlineStr">
        <is>
          <t>Regional Growth Rate</t>
        </is>
      </c>
      <c r="B11" s="5" t="n">
        <v>0.02401544094068764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Revenue</t>
        </is>
      </c>
      <c r="B2" s="5" t="n">
        <v>5395208.54</v>
      </c>
    </row>
    <row r="3">
      <c r="A3" s="5" t="inlineStr">
        <is>
          <t>Gross Profit</t>
        </is>
      </c>
      <c r="B3" s="5" t="n">
        <v>1984477.26</v>
      </c>
    </row>
    <row r="4">
      <c r="A4" s="5" t="inlineStr">
        <is>
          <t>Profit Margin</t>
        </is>
      </c>
      <c r="B4" s="5" t="n">
        <v>0.3678221602162574</v>
      </c>
    </row>
    <row r="5">
      <c r="A5" s="5" t="inlineStr">
        <is>
          <t>Average Order Value</t>
        </is>
      </c>
      <c r="B5" s="5" t="n">
        <v>69.70283503223389</v>
      </c>
    </row>
    <row r="6">
      <c r="A6" s="5" t="inlineStr">
        <is>
          <t>Customer Acquisition Cost</t>
        </is>
      </c>
      <c r="B6" s="5" t="n">
        <v>3538.13401032258</v>
      </c>
    </row>
    <row r="7">
      <c r="A7" s="5" t="inlineStr">
        <is>
          <t>Customer Retention Rate</t>
        </is>
      </c>
      <c r="B7" s="5" t="n">
        <v>0.8218674112070644</v>
      </c>
    </row>
    <row r="8">
      <c r="A8" s="5" t="inlineStr">
        <is>
          <t>Repeat Purchase Rate</t>
        </is>
      </c>
      <c r="B8" s="5" t="n">
        <v>0.9674696448282579</v>
      </c>
    </row>
    <row r="9">
      <c r="A9" s="5" t="inlineStr">
        <is>
          <t>Customer Lifetime Value</t>
        </is>
      </c>
      <c r="B9" s="5" t="n">
        <v>945.8517666385301</v>
      </c>
    </row>
    <row r="10">
      <c r="A10" s="5" t="inlineStr">
        <is>
          <t>Monthly Revenue Growth</t>
        </is>
      </c>
      <c r="B10" s="5" t="n">
        <v>0.001801268525730889</v>
      </c>
    </row>
    <row r="11">
      <c r="A11" s="5" t="inlineStr">
        <is>
          <t>Regional Growth Rate</t>
        </is>
      </c>
      <c r="B11" s="5" t="n">
        <v>0.02401544094068764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Lookup Type</t>
        </is>
      </c>
      <c r="B1" s="2" t="inlineStr">
        <is>
          <t>Example Formula</t>
        </is>
      </c>
      <c r="C1" s="2" t="inlineStr">
        <is>
          <t>Purpose</t>
        </is>
      </c>
    </row>
    <row r="2">
      <c r="A2" s="2" t="inlineStr">
        <is>
          <t>XLOOKUP</t>
        </is>
      </c>
      <c r="B2" s="2">
        <f>XLOOKUP(A2,Products[product_id],Products[product_name])</f>
        <v/>
      </c>
      <c r="C2" s="2" t="inlineStr">
        <is>
          <t>Return a product or entity label</t>
        </is>
      </c>
    </row>
    <row r="3">
      <c r="A3" s="2" t="inlineStr">
        <is>
          <t>INDEX/MATCH</t>
        </is>
      </c>
      <c r="B3" s="2">
        <f>INDEX(metric_values,MATCH(selected_metric,metric_names,0))</f>
        <v/>
      </c>
      <c r="C3" s="2" t="inlineStr">
        <is>
          <t>Flexible KPI retrieval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Issue</t>
        </is>
      </c>
      <c r="B1" s="2" t="inlineStr">
        <is>
          <t>Resolution</t>
        </is>
      </c>
    </row>
    <row r="2">
      <c r="A2" s="2" t="inlineStr">
        <is>
          <t>Missing keys</t>
        </is>
      </c>
      <c r="B2" s="2" t="inlineStr">
        <is>
          <t>Rows removed from cleaned fact tables</t>
        </is>
      </c>
    </row>
    <row r="3">
      <c r="A3" s="2" t="inlineStr">
        <is>
          <t>Duplicate records</t>
        </is>
      </c>
      <c r="B3" s="2" t="inlineStr">
        <is>
          <t>Deduplicated on primary business identifier</t>
        </is>
      </c>
    </row>
    <row r="4">
      <c r="A4" s="2" t="inlineStr">
        <is>
          <t>Outliers</t>
        </is>
      </c>
      <c r="B4" s="2" t="inlineStr">
        <is>
          <t>Retained when plausible; capped only when impossible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KPI</t>
        </is>
      </c>
      <c r="B1" s="2" t="inlineStr">
        <is>
          <t>Current</t>
        </is>
      </c>
      <c r="C1" s="2" t="inlineStr">
        <is>
          <t>Target</t>
        </is>
      </c>
      <c r="D1" s="2" t="inlineStr">
        <is>
          <t>Status</t>
        </is>
      </c>
    </row>
    <row r="2">
      <c r="A2" s="2" t="inlineStr">
        <is>
          <t>Revenue</t>
        </is>
      </c>
      <c r="B2" s="2" t="n">
        <v>5395208.54</v>
      </c>
      <c r="C2" s="2" t="n">
        <v>5664968.967</v>
      </c>
      <c r="D2" s="2">
        <f>IF(B2&gt;=C2,"On Track","Watch")</f>
        <v/>
      </c>
    </row>
    <row r="3">
      <c r="A3" s="2" t="inlineStr">
        <is>
          <t>Gross Profit</t>
        </is>
      </c>
      <c r="B3" s="2" t="n">
        <v>1984477.26</v>
      </c>
      <c r="C3" s="2" t="n">
        <v>2083701.123</v>
      </c>
      <c r="D3" s="2">
        <f>IF(B3&gt;=C3,"On Track","Watch")</f>
        <v/>
      </c>
    </row>
    <row r="4">
      <c r="A4" s="2" t="inlineStr">
        <is>
          <t>Profit Margin</t>
        </is>
      </c>
      <c r="B4" s="2" t="n">
        <v>0.3678221602162574</v>
      </c>
      <c r="C4" s="2" t="n">
        <v>0.3862132682270702</v>
      </c>
      <c r="D4" s="2">
        <f>IF(B4&gt;=C4,"On Track","Watch")</f>
        <v/>
      </c>
    </row>
    <row r="5">
      <c r="A5" s="2" t="inlineStr">
        <is>
          <t>Average Order Value</t>
        </is>
      </c>
      <c r="B5" s="2" t="n">
        <v>69.70283503223389</v>
      </c>
      <c r="C5" s="2" t="n">
        <v>73.18797678384558</v>
      </c>
      <c r="D5" s="2">
        <f>IF(B5&gt;=C5,"On Track","Watch")</f>
        <v/>
      </c>
    </row>
    <row r="6">
      <c r="A6" s="2" t="inlineStr">
        <is>
          <t>Customer Acquisition Cost</t>
        </is>
      </c>
      <c r="B6" s="2" t="n">
        <v>3538.13401032258</v>
      </c>
      <c r="C6" s="2" t="n">
        <v>3715.040710838709</v>
      </c>
      <c r="D6" s="2">
        <f>IF(B6&gt;=C6,"On Track","Watch")</f>
        <v/>
      </c>
    </row>
    <row r="7">
      <c r="A7" s="2" t="inlineStr">
        <is>
          <t>Customer Retention Rate</t>
        </is>
      </c>
      <c r="B7" s="2" t="n">
        <v>0.8218674112070644</v>
      </c>
      <c r="C7" s="2" t="n">
        <v>0.8629607817674176</v>
      </c>
      <c r="D7" s="2">
        <f>IF(B7&gt;=C7,"On Track","Watch")</f>
        <v/>
      </c>
    </row>
    <row r="8">
      <c r="A8" s="2" t="inlineStr">
        <is>
          <t>Repeat Purchase Rate</t>
        </is>
      </c>
      <c r="B8" s="2" t="n">
        <v>0.9674696448282579</v>
      </c>
      <c r="C8" s="2" t="n">
        <v>1</v>
      </c>
      <c r="D8" s="2">
        <f>IF(B8&gt;=C8,"On Track","Watch")</f>
        <v/>
      </c>
    </row>
    <row r="9">
      <c r="A9" s="2" t="inlineStr">
        <is>
          <t>Customer Lifetime Value</t>
        </is>
      </c>
      <c r="B9" s="2" t="n">
        <v>945.8517666385301</v>
      </c>
      <c r="C9" s="2" t="n">
        <v>993.1443549704567</v>
      </c>
      <c r="D9" s="2">
        <f>IF(B9&gt;=C9,"On Track","Watch")</f>
        <v/>
      </c>
    </row>
    <row r="10">
      <c r="A10" s="2" t="inlineStr">
        <is>
          <t>Monthly Revenue Growth</t>
        </is>
      </c>
      <c r="B10" s="2" t="n">
        <v>0.001801268525730889</v>
      </c>
      <c r="C10" s="2" t="n">
        <v>0.001891331952017433</v>
      </c>
      <c r="D10" s="2">
        <f>IF(B10&gt;=C10,"On Track","Watch")</f>
        <v/>
      </c>
    </row>
    <row r="11">
      <c r="A11" s="2" t="inlineStr">
        <is>
          <t>Regional Growth Rate</t>
        </is>
      </c>
      <c r="B11" s="2" t="n">
        <v>0.02401544094068764</v>
      </c>
      <c r="C11" s="2" t="n">
        <v>0.02521621298772202</v>
      </c>
      <c r="D11" s="2">
        <f>IF(B11&gt;=C11,"On Track","Watch")</f>
        <v/>
      </c>
    </row>
  </sheetData>
  <conditionalFormatting sqref="B2:B11">
    <cfRule type="colorScale" priority="1">
      <colorScale>
        <cfvo type="min"/>
        <cfvo type="percentile" val="50"/>
        <cfvo type="max"/>
        <color rgb="00FCDAD6"/>
        <color rgb="00FFE15B"/>
        <color rgb="00A3D57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Revenue</t>
        </is>
      </c>
      <c r="B2" s="5" t="n">
        <v>5395208.54</v>
      </c>
    </row>
    <row r="3">
      <c r="A3" s="5" t="inlineStr">
        <is>
          <t>Gross Profit</t>
        </is>
      </c>
      <c r="B3" s="5" t="n">
        <v>1984477.26</v>
      </c>
    </row>
    <row r="4">
      <c r="A4" s="5" t="inlineStr">
        <is>
          <t>Profit Margin</t>
        </is>
      </c>
      <c r="B4" s="5" t="n">
        <v>0.3678221602162574</v>
      </c>
    </row>
    <row r="5">
      <c r="A5" s="5" t="inlineStr">
        <is>
          <t>Average Order Value</t>
        </is>
      </c>
      <c r="B5" s="5" t="n">
        <v>69.70283503223389</v>
      </c>
    </row>
    <row r="6">
      <c r="A6" s="5" t="inlineStr">
        <is>
          <t>Customer Acquisition Cost</t>
        </is>
      </c>
      <c r="B6" s="5" t="n">
        <v>3538.13401032258</v>
      </c>
    </row>
    <row r="7">
      <c r="A7" s="5" t="inlineStr">
        <is>
          <t>Customer Retention Rate</t>
        </is>
      </c>
      <c r="B7" s="5" t="n">
        <v>0.8218674112070644</v>
      </c>
    </row>
    <row r="8">
      <c r="A8" s="5" t="inlineStr">
        <is>
          <t>Repeat Purchase Rate</t>
        </is>
      </c>
      <c r="B8" s="5" t="n">
        <v>0.9674696448282579</v>
      </c>
    </row>
    <row r="9">
      <c r="A9" s="5" t="inlineStr">
        <is>
          <t>Customer Lifetime Value</t>
        </is>
      </c>
      <c r="B9" s="5" t="n">
        <v>945.8517666385301</v>
      </c>
    </row>
    <row r="10">
      <c r="A10" s="5" t="inlineStr">
        <is>
          <t>Monthly Revenue Growth</t>
        </is>
      </c>
      <c r="B10" s="5" t="n">
        <v>0.001801268525730889</v>
      </c>
    </row>
    <row r="11">
      <c r="A11" s="5" t="inlineStr">
        <is>
          <t>Regional Growth Rate</t>
        </is>
      </c>
      <c r="B11" s="5" t="n">
        <v>0.02401544094068764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Executive Summary</t>
        </is>
      </c>
      <c r="B1" s="2" t="n"/>
    </row>
    <row r="2">
      <c r="A2" s="2" t="n"/>
      <c r="B2" s="2" t="n"/>
    </row>
    <row r="3">
      <c r="A3" s="2" t="inlineStr">
        <is>
          <t>This workbook contains dashboard cards, pivot-style summaries, chart examples, lookup formulas, cleaning notes, conditional formatting, KPI tracking, and executive recommendations.</t>
        </is>
      </c>
      <c r="B3" s="2" t="n"/>
    </row>
    <row r="4">
      <c r="A4" s="2" t="n"/>
      <c r="B4" s="2" t="n"/>
    </row>
    <row r="5">
      <c r="A5" s="2" t="inlineStr">
        <is>
          <t>Recommendation</t>
        </is>
      </c>
      <c r="B5" s="2" t="inlineStr">
        <is>
          <t>Publish alongside SQL, notebooks, reports, and dashboard 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2026-06-15T18:44:43Z</dcterms:created>
  <dcterms:modified xmlns:dcterms="http://purl.org/dc/terms/" xmlns:xsi="http://www.w3.org/2001/XMLSchema-instance" xsi:type="dcterms:W3CDTF">2026-06-15T18:44:43Z</dcterms:modified>
</cp:coreProperties>
</file>